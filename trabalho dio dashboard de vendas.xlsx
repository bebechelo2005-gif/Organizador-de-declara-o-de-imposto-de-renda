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el\Downloads\"/>
    </mc:Choice>
  </mc:AlternateContent>
  <xr:revisionPtr revIDLastSave="0" documentId="8_{F88C3F8D-BD14-4AB9-8DF0-D09B33DD739C}" xr6:coauthVersionLast="47" xr6:coauthVersionMax="47" xr10:uidLastSave="{00000000-0000-0000-0000-000000000000}"/>
  <bookViews>
    <workbookView xWindow="10290" yWindow="2310" windowWidth="16125" windowHeight="9885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3" l="1"/>
  <c r="E21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<sst xmlns="http://schemas.openxmlformats.org/spreadsheetml/2006/main" count="2019" uniqueCount="321">
  <si>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</si>
  <si>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</si>
  <si>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</si>
  <si>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</si>
  <si>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</si>
  <si>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</si>
  <si>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</si>
  <si>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</si>
  <si>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</si>
  <si>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</si>
  <si>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</si>
  <si>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</si>
  <si>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</si>
  <si>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</si>
  <si>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</si>
  <si>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</si>
  <si>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</si>
  <si>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</si>
  <si>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</si>
  <si>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</si>
  <si>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</si>
  <si>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</si>
  <si>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</si>
  <si>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</si>
  <si>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</si>
  <si>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</si>
  <si>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</si>
  <si>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</si>
  <si>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</si>
  <si>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</si>
  <si>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</si>
  <si>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</si>
  <si>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</si>
  <si>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</si>
  <si>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</si>
  <si>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</si>
  <si>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</si>
  <si>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</si>
  <si>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</si>
  <si>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</si>
  <si>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</si>
  <si>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</si>
  <si>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</si>
  <si>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</si>
  <si>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</si>
  <si>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</si>
  <si>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</si>
  <si>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</si>
  <si>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</si>
  <si>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</si>
  <si>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</si>
  <si>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</si>
  <si>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</si>
  <si>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</si>
  <si>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</si>
  <si>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</si>
  <si>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</si>
  <si>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</si>
  <si>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</si>
  <si>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</si>
  <si>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</si>
  <si>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</si>
  <si>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</si>
  <si>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</si>
  <si>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</si>
  <si>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</si>
  <si>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</si>
  <si>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</si>
  <si>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</si>
  <si>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</si>
  <si>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</si>
  <si>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</si>
  <si>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</si>
  <si>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</si>
  <si>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</si>
  <si>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</si>
  <si>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</si>
  <si>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</si>
  <si>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</si>
  <si>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</si>
  <si>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</si>
  <si>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</si>
  <si>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</si>
  <si>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</si>
  <si>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</si>
  <si>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</si>
  <si>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</si>
  <si>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</si>
  <si>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</si>
  <si>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</si>
  <si>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</si>
  <si>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</si>
  <si>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</si>
  <si>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</si>
  <si>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</si>
  <si>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</si>
  <si>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</si>
  <si>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</si>
  <si>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</si>
  <si>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</si>
  <si>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</si>
  <si>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</si>
  <si>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</si>
  <si>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</si>
  <si>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</si>
  <si>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</si>
  <si>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</si>
  <si>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</si>
  <si>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</si>
  <si>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</si>
  <si>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</si>
  <si>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</si>
  <si>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</si>
  <si>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</si>
  <si>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</si>
  <si>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</si>
  <si>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</si>
  <si>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</si>
  <si>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</si>
  <si>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</si>
  <si>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</si>
  <si>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</si>
  <si>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</si>
  <si>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</si>
  <si>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</si>
  <si>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</si>
  <si>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</si>
  <si>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</si>
  <si>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</si>
  <si>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</si>
  <si>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</si>
  <si>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</si>
  <si>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</si>
  <si>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</si>
  <si>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</si>
  <si>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</si>
  <si>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</si>
  <si>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</si>
  <si>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</si>
  <si>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</si>
  <si>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</si>
  <si>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</si>
  <si>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</si>
  <si>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</si>
  <si>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</si>
  <si>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</si>
  <si>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</si>
  <si>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</si>
  <si>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</si>
  <si>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</si>
  <si>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</si>
  <si>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</si>
  <si>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</si>
  <si>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</si>
  <si>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</si>
  <si>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</si>
  <si>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</si>
  <si>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</si>
  <si>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</si>
  <si>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</si>
  <si>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</si>
  <si>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</si>
  <si>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</si>
  <si>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</si>
  <si>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</si>
  <si>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</si>
  <si>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</si>
  <si>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</si>
  <si>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</si>
  <si>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</si>
  <si>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</si>
  <si>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</si>
  <si>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</si>
  <si>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</si>
  <si>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</si>
  <si>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</si>
  <si>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</si>
  <si>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</si>
  <si>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</si>
  <si>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</si>
  <si>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</si>
  <si>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</si>
  <si>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</si>
  <si>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</si>
  <si>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</si>
  <si>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</si>
  <si>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</si>
  <si>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</si>
  <si>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</si>
  <si>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</si>
  <si>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</si>
  <si>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</si>
  <si>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</si>
  <si>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</si>
  <si>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</si>
  <si>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</si>
  <si>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</si>
  <si>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</si>
  <si>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</si>
  <si>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</si>
  <si>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</si>
  <si>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</si>
  <si>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</si>
  <si>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</si>
  <si>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</si>
  <si>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</si>
  <si>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</si>
  <si>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</si>
  <si>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</si>
  <si>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</si>
  <si>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</si>
  <si>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</si>
  <si>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</si>
  <si>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</si>
  <si>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</si>
  <si>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</si>
  <si>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</si>
  <si>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</si>
  <si>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</si>
  <si>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</si>
  <si>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</si>
  <si>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</si>
  <si>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</si>
  <si>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</si>
  <si>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</si>
  <si>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</si>
  <si>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</si>
  <si>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</si>
  <si>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</si>
  <si>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</si>
  <si>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</si>
  <si>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</si>
  <si>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</si>
  <si>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</si>
  <si>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</si>
  <si>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</si>
  <si>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</si>
  <si>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</si>
  <si>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</si>
  <si>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</si>
  <si>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</si>
  <si>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</si>
  <si>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</si>
  <si>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</si>
  <si>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</si>
  <si>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</si>
  <si>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</si>
  <si>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</si>
  <si>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</si>
  <si>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</si>
  <si>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</si>
  <si>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</si>
  <si>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</si>
  <si>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</si>
  <si>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</si>
  <si>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</si>
  <si>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</si>
  <si>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</si>
  <si>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</si>
  <si>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</si>
  <si>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</si>
  <si>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</si>
  <si>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</si>
  <si>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</si>
  <si>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</si>
  <si>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</si>
  <si>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</si>
  <si>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</si>
  <si>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</si>
  <si>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</si>
  <si>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</si>
  <si>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</si>
  <si>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</si>
  <si>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</si>
  <si>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</si>
  <si>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</si>
  <si>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</si>
  <si>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</si>
  <si>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</si>
  <si>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</si>
  <si>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</si>
  <si>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</si>
  <si>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</si>
  <si>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</si>
  <si>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</si>
  <si>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</si>
  <si>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</si>
  <si>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</si>
  <si>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</si>
  <si>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</si>
  <si>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</si>
  <si>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</si>
  <si>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</si>
  <si>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</si>
  <si>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</si>
  <si>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</si>
  <si>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</si>
  <si>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</si>
  <si>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</si>
  <si>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</si>
  <si>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</si>
  <si>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</si>
  <si>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</si>
  <si>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</si>
  <si>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</si>
  <si>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</si>
  <si>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</si>
  <si>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</si>
  <si>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</si>
  <si>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</si>
  <si>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</si>
  <si>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</si>
  <si>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</si>
  <si>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</si>
  <si>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</si>
  <si>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</si>
  <si>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</si>
  <si>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</si>
  <si>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Gestor Marcelo</t>
  </si>
  <si>
    <t xml:space="preserve">    XBOX GAME PASSS SUBSCRITIONS SALES</t>
  </si>
  <si>
    <t>período de apuração 01/01/2024 a 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</si>
</sst>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5BF6A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1" applyFont="1" applyFill="1" applyBorder="1"/>
    <xf numFmtId="0" fontId="0" fillId="0" borderId="0" xfId="0" applyBorder="1"/>
    <xf numFmtId="0" fontId="4" fillId="0" borderId="2" xfId="1" applyFont="1" applyBorder="1"/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/>
    <xf numFmtId="0" fontId="4" fillId="0" borderId="2" xfId="1" applyFont="1" applyFill="1" applyBorder="1"/>
    <xf numFmtId="0" fontId="0" fillId="0" borderId="0" xfId="0" applyNumberFormat="1"/>
    <xf numFmtId="165" fontId="0" fillId="0" borderId="0" xfId="0" applyNumberFormat="1"/>
    <xf numFmtId="0" fontId="3" fillId="4" borderId="0" xfId="0" applyFont="1" applyFill="1" applyAlignment="1">
      <alignment horizontal="left"/>
    </xf>
    <xf numFmtId="0" fontId="3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SlicerStyleLight6 2" pivot="0" table="0" count="10" xr9:uid="{7EE48B69-721F-4026-83BD-7F6BB4D8740A}">
      <tableStyleElement type="wholeTable" dxfId="1"/>
      <tableStyleElement type="headerRow" dxfId="0"/>
    </tableStyle>
    <tableStyle name="SlicerStyleLight6 2 2" pivot="0" table="0" count="10" xr9:uid="{9655535B-23AF-4C3E-9869-AFED9236B46E}">
      <tableStyleElement type="wholeTable" dxfId="3"/>
      <tableStyleElement type="headerRow" dxfId="2"/>
    </tableStyle>
  </tableStyles>
  <colors>
    <mruColors>
      <color rgb="FF5BF6A8"/>
      <color rgb="FF2AE6B1"/>
      <color rgb="FF22C55E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2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22/10/relationships/richValueRel" Target="richData/richValueRel.xml"/><Relationship Id="rId5" Type="http://schemas.openxmlformats.org/officeDocument/2006/relationships/pivotCacheDefinition" Target="pivotCache/pivotCacheDefinition1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dio dashboard de vendas.xlsx]C̳álculos!tbl_total_anual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99-4765-A9B2-8051B4CCA0A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99-4765-A9B2-8051B4CCA0A0}"/>
              </c:ext>
            </c:extLst>
          </c:dPt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99-4765-A9B2-8051B4CC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147600"/>
        <c:axId val="549741152"/>
      </c:barChart>
      <c:catAx>
        <c:axId val="71114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741152"/>
        <c:crosses val="autoZero"/>
        <c:auto val="1"/>
        <c:lblAlgn val="ctr"/>
        <c:lblOffset val="100"/>
        <c:noMultiLvlLbl val="0"/>
      </c:catAx>
      <c:valAx>
        <c:axId val="5497411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111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[trabalho dio dashboard de vendas.xlsx]C̳álculos!tbl_total_anual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1763677113665162"/>
          <c:y val="0.27786621486626173"/>
          <c:w val="0.68236322886334844"/>
          <c:h val="0.678056637399517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D99-4765-A9B2-8051B4CCA0A0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99-4765-A9B2-8051B4CCA0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99-4765-A9B2-8051B4CCA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147600"/>
        <c:axId val="549741152"/>
      </c:barChart>
      <c:catAx>
        <c:axId val="71114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9741152"/>
        <c:crosses val="autoZero"/>
        <c:auto val="1"/>
        <c:lblAlgn val="ctr"/>
        <c:lblOffset val="100"/>
        <c:noMultiLvlLbl val="0"/>
      </c:catAx>
      <c:valAx>
        <c:axId val="54974115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1114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svg"/><Relationship Id="rId4" Type="http://schemas.openxmlformats.org/officeDocument/2006/relationships/image" Target="../media/image5.sv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11.svg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1612105</xdr:colOff>
      <xdr:row>1</xdr:row>
      <xdr:rowOff>85725</xdr:rowOff>
    </xdr:from>
    <xdr:to>
      <xdr:col>2</xdr:col>
      <xdr:colOff>314324</xdr:colOff>
      <xdr:row>3</xdr:row>
      <xdr:rowOff>174498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401CE0-0158-41B9-8DD3-878D789D1A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59" r="72360" b="1"/>
        <a:stretch>
          <a:fillRect/>
        </a:stretch>
      </xdr:blipFill>
      <xdr:spPr>
        <a:xfrm>
          <a:off x="1612105" y="276225"/>
          <a:ext cx="797719" cy="974598"/>
        </a:xfrm>
        <a:prstGeom prst="rect">
          <a:avLst/>
        </a:prstGeom>
      </xdr:spPr>
    </xdr:pic>
    <xdr:clientData/>
  </xdr:twoCellAnchor>
  <xdr:twoCellAnchor editAs="absolute">
    <xdr:from>
      <xdr:col>0</xdr:col>
      <xdr:colOff>1845468</xdr:colOff>
      <xdr:row>15</xdr:row>
      <xdr:rowOff>0</xdr:rowOff>
    </xdr:from>
    <xdr:to>
      <xdr:col>10</xdr:col>
      <xdr:colOff>214311</xdr:colOff>
      <xdr:row>25</xdr:row>
      <xdr:rowOff>88104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41ED60-27CA-45CB-87EC-E04873100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9525</xdr:colOff>
      <xdr:row>2</xdr:row>
      <xdr:rowOff>688182</xdr:rowOff>
    </xdr:from>
    <xdr:to>
      <xdr:col>0</xdr:col>
      <xdr:colOff>1838325</xdr:colOff>
      <xdr:row>13</xdr:row>
      <xdr:rowOff>9526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C0A6E1A2-371F-4477-A12E-B574B2C601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1069182"/>
              <a:ext cx="1828800" cy="26836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130969</xdr:colOff>
      <xdr:row>4</xdr:row>
      <xdr:rowOff>76200</xdr:rowOff>
    </xdr:from>
    <xdr:to>
      <xdr:col>8</xdr:col>
      <xdr:colOff>333375</xdr:colOff>
      <xdr:row>7</xdr:row>
      <xdr:rowOff>752475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BB78F581-9CEF-59C3-32D3-4D64C30FDB64}"/>
            </a:ext>
          </a:extLst>
        </xdr:cNvPr>
        <xdr:cNvGrpSpPr/>
      </xdr:nvGrpSpPr>
      <xdr:grpSpPr>
        <a:xfrm>
          <a:off x="2226469" y="1381125"/>
          <a:ext cx="3860006" cy="1219200"/>
          <a:chOff x="2226469" y="1381125"/>
          <a:chExt cx="3860006" cy="121920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35AACCB0-02EC-272B-9272-C1BAF69A06A9}"/>
              </a:ext>
            </a:extLst>
          </xdr:cNvPr>
          <xdr:cNvSpPr/>
        </xdr:nvSpPr>
        <xdr:spPr>
          <a:xfrm>
            <a:off x="2226469" y="1507331"/>
            <a:ext cx="3860006" cy="921543"/>
          </a:xfrm>
          <a:prstGeom prst="roundRect">
            <a:avLst>
              <a:gd name="adj" fmla="val 11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F473C6C8-3476-4D2D-9D19-5D15D85636A7}"/>
              </a:ext>
            </a:extLst>
          </xdr:cNvPr>
          <xdr:cNvSpPr/>
        </xdr:nvSpPr>
        <xdr:spPr>
          <a:xfrm>
            <a:off x="2742009" y="1381125"/>
            <a:ext cx="1907382" cy="921543"/>
          </a:xfrm>
          <a:prstGeom prst="roundRect">
            <a:avLst>
              <a:gd name="adj" fmla="val 42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89F1480-3670-403C-BC3A-243B93D0F5CA}" type="TxLink">
              <a:rPr lang="en-US" sz="2400" b="0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pt-BR" sz="2400">
              <a:solidFill>
                <a:srgbClr val="2AE6B1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786944CD-571A-40EA-9FF9-69434362AF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86100" y="1381125"/>
            <a:ext cx="1219200" cy="121920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178594</xdr:colOff>
      <xdr:row>5</xdr:row>
      <xdr:rowOff>215503</xdr:rowOff>
    </xdr:from>
    <xdr:to>
      <xdr:col>8</xdr:col>
      <xdr:colOff>333375</xdr:colOff>
      <xdr:row>7</xdr:row>
      <xdr:rowOff>819150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5DFFEDB5-1E46-3DD2-48BC-1AB748A7AFBC}"/>
            </a:ext>
          </a:extLst>
        </xdr:cNvPr>
        <xdr:cNvSpPr/>
      </xdr:nvSpPr>
      <xdr:spPr>
        <a:xfrm>
          <a:off x="2274094" y="1615678"/>
          <a:ext cx="3812381" cy="1051322"/>
        </a:xfrm>
        <a:prstGeom prst="roundRect">
          <a:avLst>
            <a:gd name="adj" fmla="val 1163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123825</xdr:colOff>
      <xdr:row>5</xdr:row>
      <xdr:rowOff>95249</xdr:rowOff>
    </xdr:from>
    <xdr:to>
      <xdr:col>8</xdr:col>
      <xdr:colOff>323850</xdr:colOff>
      <xdr:row>9</xdr:row>
      <xdr:rowOff>161924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FE975C26-58D1-D4BB-5165-C614B2338108}"/>
            </a:ext>
          </a:extLst>
        </xdr:cNvPr>
        <xdr:cNvGrpSpPr/>
      </xdr:nvGrpSpPr>
      <xdr:grpSpPr>
        <a:xfrm>
          <a:off x="2219325" y="1495424"/>
          <a:ext cx="3857625" cy="1647825"/>
          <a:chOff x="2219325" y="1057275"/>
          <a:chExt cx="3857625" cy="1562100"/>
        </a:xfrm>
      </xdr:grpSpPr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BD6ACBEC-E1E3-2474-9CD1-73A14818521D}"/>
              </a:ext>
            </a:extLst>
          </xdr:cNvPr>
          <xdr:cNvSpPr/>
        </xdr:nvSpPr>
        <xdr:spPr>
          <a:xfrm>
            <a:off x="2219325" y="1057275"/>
            <a:ext cx="3857625" cy="457200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/>
              <a:t>TOTAL SUBSCRITION EA PLAY SEASON PASS	</a:t>
            </a:r>
          </a:p>
        </xdr:txBody>
      </xdr: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CC715708-4C4F-42F5-6A0C-16B643152A75}"/>
              </a:ext>
            </a:extLst>
          </xdr:cNvPr>
          <xdr:cNvGrpSpPr/>
        </xdr:nvGrpSpPr>
        <xdr:grpSpPr>
          <a:xfrm>
            <a:off x="2933700" y="1400175"/>
            <a:ext cx="2925366" cy="1219200"/>
            <a:chOff x="2543175" y="1257300"/>
            <a:chExt cx="2925366" cy="1219200"/>
          </a:xfrm>
        </xdr:grpSpPr>
        <xdr:sp macro="" textlink="C̳álculos!E21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6183C517-0670-8DBD-80D3-03442BC840D1}"/>
                </a:ext>
              </a:extLst>
            </xdr:cNvPr>
            <xdr:cNvSpPr/>
          </xdr:nvSpPr>
          <xdr:spPr>
            <a:xfrm>
              <a:off x="3561159" y="1304925"/>
              <a:ext cx="1907382" cy="921543"/>
            </a:xfrm>
            <a:prstGeom prst="roundRect">
              <a:avLst>
                <a:gd name="adj" fmla="val 42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89F1480-3670-403C-BC3A-243B93D0F5CA}" type="TxLink">
                <a:rPr lang="en-US" sz="24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R$ 1.590,00</a:t>
              </a:fld>
              <a:endParaRPr lang="pt-BR" sz="2400">
                <a:solidFill>
                  <a:srgbClr val="2AE6B1"/>
                </a:solidFill>
              </a:endParaRPr>
            </a:p>
          </xdr:txBody>
        </xdr:sp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9D10700E-6092-58DB-F42D-F266CB5698D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43175" y="1257300"/>
              <a:ext cx="1219200" cy="121920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1828800</xdr:colOff>
      <xdr:row>11</xdr:row>
      <xdr:rowOff>180975</xdr:rowOff>
    </xdr:from>
    <xdr:to>
      <xdr:col>21</xdr:col>
      <xdr:colOff>95250</xdr:colOff>
      <xdr:row>33</xdr:row>
      <xdr:rowOff>28575</xdr:rowOff>
    </xdr:to>
    <xdr:grpSp>
      <xdr:nvGrpSpPr>
        <xdr:cNvPr id="53" name="Agrupar 52">
          <a:extLst>
            <a:ext uri="{FF2B5EF4-FFF2-40B4-BE49-F238E27FC236}">
              <a16:creationId xmlns:a16="http://schemas.microsoft.com/office/drawing/2014/main" id="{EA7AECDE-1546-52DF-AD84-9ADA96D6972D}"/>
            </a:ext>
          </a:extLst>
        </xdr:cNvPr>
        <xdr:cNvGrpSpPr/>
      </xdr:nvGrpSpPr>
      <xdr:grpSpPr>
        <a:xfrm>
          <a:off x="1828800" y="3543300"/>
          <a:ext cx="11772900" cy="4038600"/>
          <a:chOff x="1828800" y="3543300"/>
          <a:chExt cx="11772900" cy="403860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E718662C-DA49-D03A-BC67-EEBA5E01B82C}"/>
              </a:ext>
            </a:extLst>
          </xdr:cNvPr>
          <xdr:cNvGrpSpPr/>
        </xdr:nvGrpSpPr>
        <xdr:grpSpPr>
          <a:xfrm>
            <a:off x="1831179" y="3724275"/>
            <a:ext cx="11760996" cy="3857625"/>
            <a:chOff x="2012154" y="2928937"/>
            <a:chExt cx="6917535" cy="421481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F1665E77-BCDD-7424-0766-2B5CFD8DA7D6}"/>
                </a:ext>
              </a:extLst>
            </xdr:cNvPr>
            <xdr:cNvSpPr/>
          </xdr:nvSpPr>
          <xdr:spPr>
            <a:xfrm>
              <a:off x="3714750" y="2928937"/>
              <a:ext cx="5214939" cy="4060031"/>
            </a:xfrm>
            <a:prstGeom prst="roundRect">
              <a:avLst>
                <a:gd name="adj" fmla="val 112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9" name="Agrupar 8">
              <a:extLst>
                <a:ext uri="{FF2B5EF4-FFF2-40B4-BE49-F238E27FC236}">
                  <a16:creationId xmlns:a16="http://schemas.microsoft.com/office/drawing/2014/main" id="{C06A384B-9FD4-DCAA-0E51-209EBCC9AC38}"/>
                </a:ext>
              </a:extLst>
            </xdr:cNvPr>
            <xdr:cNvGrpSpPr/>
          </xdr:nvGrpSpPr>
          <xdr:grpSpPr>
            <a:xfrm>
              <a:off x="2012154" y="3214686"/>
              <a:ext cx="5214939" cy="3929061"/>
              <a:chOff x="2262186" y="1071562"/>
              <a:chExt cx="5214939" cy="4060031"/>
            </a:xfrm>
          </xdr:grpSpPr>
          <xdr:sp macro="" textlink="">
            <xdr:nvSpPr>
              <xdr:cNvPr id="6" name="Retângulo: Cantos Arredondados 5">
                <a:extLst>
                  <a:ext uri="{FF2B5EF4-FFF2-40B4-BE49-F238E27FC236}">
                    <a16:creationId xmlns:a16="http://schemas.microsoft.com/office/drawing/2014/main" id="{90CFE014-8821-7EDD-D89D-3425B012C7AB}"/>
                  </a:ext>
                </a:extLst>
              </xdr:cNvPr>
              <xdr:cNvSpPr/>
            </xdr:nvSpPr>
            <xdr:spPr>
              <a:xfrm>
                <a:off x="2262186" y="1071562"/>
                <a:ext cx="5214939" cy="4060031"/>
              </a:xfrm>
              <a:prstGeom prst="roundRect">
                <a:avLst>
                  <a:gd name="adj" fmla="val 1124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8" name="Gráfico 7">
                <a:extLst>
                  <a:ext uri="{FF2B5EF4-FFF2-40B4-BE49-F238E27FC236}">
                    <a16:creationId xmlns:a16="http://schemas.microsoft.com/office/drawing/2014/main" id="{D6700CA1-F0E8-8DF9-5435-086D3EAA4A6D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797969" y="1250156"/>
              <a:ext cx="4571999" cy="3457574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4"/>
              </a:graphicData>
            </a:graphic>
          </xdr:graphicFrame>
        </xdr:grpSp>
      </xdr:grpSp>
      <xdr:sp macro="" textlink="">
        <xdr:nvSpPr>
          <xdr:cNvPr id="50" name="Retângulo: Cantos Superiores Arredondados 49">
            <a:extLst>
              <a:ext uri="{FF2B5EF4-FFF2-40B4-BE49-F238E27FC236}">
                <a16:creationId xmlns:a16="http://schemas.microsoft.com/office/drawing/2014/main" id="{65A6B35D-1EC4-4DDC-9820-46B932480F51}"/>
              </a:ext>
            </a:extLst>
          </xdr:cNvPr>
          <xdr:cNvSpPr/>
        </xdr:nvSpPr>
        <xdr:spPr>
          <a:xfrm>
            <a:off x="1828800" y="3543300"/>
            <a:ext cx="11772900" cy="427008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SUBSCRITION XBOX</a:t>
            </a:r>
            <a:r>
              <a:rPr lang="pt-BR" sz="1100" baseline="0"/>
              <a:t> GAME PASS	</a:t>
            </a:r>
            <a:endParaRPr lang="pt-BR" sz="1100"/>
          </a:p>
        </xdr:txBody>
      </xdr:sp>
    </xdr:grpSp>
    <xdr:clientData/>
  </xdr:twoCellAnchor>
  <xdr:twoCellAnchor>
    <xdr:from>
      <xdr:col>8</xdr:col>
      <xdr:colOff>409575</xdr:colOff>
      <xdr:row>5</xdr:row>
      <xdr:rowOff>104775</xdr:rowOff>
    </xdr:from>
    <xdr:to>
      <xdr:col>15</xdr:col>
      <xdr:colOff>200025</xdr:colOff>
      <xdr:row>9</xdr:row>
      <xdr:rowOff>104775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C00964A6-362C-008D-0C80-722AF3674803}"/>
            </a:ext>
          </a:extLst>
        </xdr:cNvPr>
        <xdr:cNvGrpSpPr/>
      </xdr:nvGrpSpPr>
      <xdr:grpSpPr>
        <a:xfrm>
          <a:off x="6162675" y="1504950"/>
          <a:ext cx="3886200" cy="1581150"/>
          <a:chOff x="6896100" y="1076325"/>
          <a:chExt cx="3886200" cy="1581150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89A8C89F-CCCE-4166-B170-F124866664C5}"/>
              </a:ext>
            </a:extLst>
          </xdr:cNvPr>
          <xdr:cNvSpPr/>
        </xdr:nvSpPr>
        <xdr:spPr>
          <a:xfrm>
            <a:off x="6903244" y="1495425"/>
            <a:ext cx="3879056" cy="1162050"/>
          </a:xfrm>
          <a:prstGeom prst="roundRect">
            <a:avLst>
              <a:gd name="adj" fmla="val 116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4400">
              <a:solidFill>
                <a:srgbClr val="2AE6B1"/>
              </a:solidFill>
            </a:endParaRPr>
          </a:p>
        </xdr:txBody>
      </xdr:sp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749EDFE0-6E00-1961-F1C0-174DBF2F5A6C}"/>
              </a:ext>
            </a:extLst>
          </xdr:cNvPr>
          <xdr:cNvGrpSpPr/>
        </xdr:nvGrpSpPr>
        <xdr:grpSpPr>
          <a:xfrm>
            <a:off x="7112794" y="1489945"/>
            <a:ext cx="3469482" cy="1049549"/>
            <a:chOff x="7160419" y="1539963"/>
            <a:chExt cx="3469482" cy="1030112"/>
          </a:xfrm>
        </xdr:grpSpPr>
        <xdr:grpSp>
          <xdr:nvGrpSpPr>
            <xdr:cNvPr id="38" name="Agrupar 37">
              <a:extLst>
                <a:ext uri="{FF2B5EF4-FFF2-40B4-BE49-F238E27FC236}">
                  <a16:creationId xmlns:a16="http://schemas.microsoft.com/office/drawing/2014/main" id="{47D6C8AB-E44E-4439-AC59-337F33E63BD0}"/>
                </a:ext>
              </a:extLst>
            </xdr:cNvPr>
            <xdr:cNvGrpSpPr/>
          </xdr:nvGrpSpPr>
          <xdr:grpSpPr>
            <a:xfrm>
              <a:off x="7160419" y="1602581"/>
              <a:ext cx="1549476" cy="967494"/>
              <a:chOff x="3667125" y="5400674"/>
              <a:chExt cx="1549476" cy="967494"/>
            </a:xfrm>
          </xdr:grpSpPr>
          <xdr:pic>
            <xdr:nvPicPr>
              <xdr:cNvPr id="39" name="Imagem 38">
                <a:extLst>
                  <a:ext uri="{FF2B5EF4-FFF2-40B4-BE49-F238E27FC236}">
                    <a16:creationId xmlns:a16="http://schemas.microsoft.com/office/drawing/2014/main" id="{2CE2EEE4-9E22-9695-FD6D-9DDB5E39DC6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40" name="Gráfico 39">
                <a:extLst>
                  <a:ext uri="{FF2B5EF4-FFF2-40B4-BE49-F238E27FC236}">
                    <a16:creationId xmlns:a16="http://schemas.microsoft.com/office/drawing/2014/main" id="{7A769000-AC13-2DEA-D4C2-EDE30E2C821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>
                <a:extLst>
                  <a:ext uri="{96DAC541-7B7A-43D3-8B79-37D633B846F1}">
                    <asvg:svgBlip xmlns:asvg="http://schemas.microsoft.com/office/drawing/2016/SVG/main" r:embed="rId7"/>
                  </a:ext>
                </a:extLst>
              </a:blip>
              <a:stretch>
                <a:fillRect/>
              </a:stretch>
            </xdr:blipFill>
            <xdr:spPr>
              <a:xfrm>
                <a:off x="3667125" y="6110955"/>
                <a:ext cx="1549476" cy="257213"/>
              </a:xfrm>
              <a:prstGeom prst="rect">
                <a:avLst/>
              </a:prstGeom>
            </xdr:spPr>
          </xdr:pic>
        </xdr:grpSp>
        <xdr:sp macro="" textlink="C̳álculos!E31">
          <xdr:nvSpPr>
            <xdr:cNvPr id="41" name="Retângulo: Cantos Arredondados 40">
              <a:extLst>
                <a:ext uri="{FF2B5EF4-FFF2-40B4-BE49-F238E27FC236}">
                  <a16:creationId xmlns:a16="http://schemas.microsoft.com/office/drawing/2014/main" id="{DD21A570-5916-4692-AD6F-E5F494F12289}"/>
                </a:ext>
              </a:extLst>
            </xdr:cNvPr>
            <xdr:cNvSpPr/>
          </xdr:nvSpPr>
          <xdr:spPr>
            <a:xfrm>
              <a:off x="8722519" y="1539963"/>
              <a:ext cx="1907382" cy="921543"/>
            </a:xfrm>
            <a:prstGeom prst="roundRect">
              <a:avLst>
                <a:gd name="adj" fmla="val 42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0774210-7EAF-4051-9F54-889FE897C36C}" type="TxLink">
                <a:rPr lang="en-US" sz="2400" b="0" i="0" u="none" strike="noStrike">
                  <a:solidFill>
                    <a:srgbClr val="2AE6B1"/>
                  </a:solidFill>
                  <a:latin typeface="Aptos Narrow"/>
                </a:rPr>
                <a:pPr algn="ctr"/>
                <a:t>R$ 940,00</a:t>
              </a:fld>
              <a:endParaRPr lang="pt-BR" sz="4800">
                <a:solidFill>
                  <a:srgbClr val="2AE6B1"/>
                </a:solidFill>
              </a:endParaRPr>
            </a:p>
          </xdr:txBody>
        </xdr:sp>
      </xdr:grpSp>
      <xdr:sp macro="" textlink="">
        <xdr:nvSpPr>
          <xdr:cNvPr id="51" name="Retângulo: Cantos Superiores Arredondados 50">
            <a:extLst>
              <a:ext uri="{FF2B5EF4-FFF2-40B4-BE49-F238E27FC236}">
                <a16:creationId xmlns:a16="http://schemas.microsoft.com/office/drawing/2014/main" id="{1EB23D95-9864-4877-B961-38599EC3B2AA}"/>
              </a:ext>
            </a:extLst>
          </xdr:cNvPr>
          <xdr:cNvSpPr/>
        </xdr:nvSpPr>
        <xdr:spPr>
          <a:xfrm>
            <a:off x="6896100" y="1076325"/>
            <a:ext cx="3867150" cy="427008"/>
          </a:xfrm>
          <a:prstGeom prst="round2SameRect">
            <a:avLst>
              <a:gd name="adj1" fmla="val 0"/>
              <a:gd name="adj2" fmla="val 0"/>
            </a:avLst>
          </a:prstGeom>
          <a:solidFill>
            <a:srgbClr val="22C55E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/>
              <a:t>TOTAL SUBSCRITION EA PLAY SEASON PASS	</a:t>
            </a:r>
          </a:p>
        </xdr:txBody>
      </xdr:sp>
    </xdr:grpSp>
    <xdr:clientData/>
  </xdr:twoCellAnchor>
  <xdr:twoCellAnchor editAs="absolute">
    <xdr:from>
      <xdr:col>0</xdr:col>
      <xdr:colOff>19050</xdr:colOff>
      <xdr:row>0</xdr:row>
      <xdr:rowOff>66675</xdr:rowOff>
    </xdr:from>
    <xdr:to>
      <xdr:col>0</xdr:col>
      <xdr:colOff>714375</xdr:colOff>
      <xdr:row>2</xdr:row>
      <xdr:rowOff>381000</xdr:rowOff>
    </xdr:to>
    <xdr:sp macro="" textlink="">
      <xdr:nvSpPr>
        <xdr:cNvPr id="54" name="Elipse 53">
          <a:extLst>
            <a:ext uri="{FF2B5EF4-FFF2-40B4-BE49-F238E27FC236}">
              <a16:creationId xmlns:a16="http://schemas.microsoft.com/office/drawing/2014/main" id="{66D12744-6F21-4476-9478-157CFBC1EE43}"/>
            </a:ext>
          </a:extLst>
        </xdr:cNvPr>
        <xdr:cNvSpPr/>
      </xdr:nvSpPr>
      <xdr:spPr>
        <a:xfrm>
          <a:off x="19050" y="66675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O MARINHO" refreshedDate="46312.665312962963" createdVersion="8" refreshedVersion="8" minRefreshableVersion="3" recordCount="295" xr:uid="{D4A73B81-9654-4B25-BC00-7479E64E159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874658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1DD361-0E6E-4EF6-971F-FF46A648EE3A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7:C31" firstHeaderRow="1" firstDataRow="1" firstDataCol="1" rowPageCount="1" colPageCount="1"/>
  <pivotFields count="13">
    <pivotField showAll="0"/>
    <pivotField showAll="0">
      <items count="281">
        <item sd="0"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sd="0" x="1"/>
        <item sd="0" x="0"/>
        <item t="default"/>
      </items>
    </pivotField>
    <pivotField numFmtId="44" showAll="0"/>
    <pivotField axis="axisPage" multipleItemSelectionAllowed="1" showAll="0">
      <items count="4">
        <item sd="0" x="1"/>
        <item h="1" sd="0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B66C0-D900-47F7-BA02-113B944F1A36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7:C21" firstHeaderRow="1" firstDataRow="1" firstDataCol="1" rowPageCount="1" colPageCount="1"/>
  <pivotFields count="13">
    <pivotField showAll="0"/>
    <pivotField showAll="0">
      <items count="281">
        <item sd="0"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sd="0" x="1"/>
        <item sd="0" x="0"/>
        <item t="default"/>
      </items>
    </pivotField>
    <pivotField numFmtId="44" showAll="0"/>
    <pivotField axis="axisPage" multipleItemSelectionAllowed="1" showAll="0">
      <items count="4">
        <item sd="0" x="1"/>
        <item h="1" sd="0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552728-CBC2-4A36-B07A-045B2E90B033}" name="tbl_total_anu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8:C11" firstHeaderRow="1" firstDataRow="1" firstDataCol="1" rowPageCount="1" colPageCount="1"/>
  <pivotFields count="13">
    <pivotField showAll="0"/>
    <pivotField showAll="0">
      <items count="281">
        <item sd="0"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sd="0" x="1"/>
        <item sd="0" x="0"/>
        <item t="default"/>
      </items>
    </pivotField>
    <pivotField numFmtId="44" showAll="0"/>
    <pivotField axis="axisPage" multipleItemSelectionAllowed="1" showAll="0">
      <items count="4">
        <item sd="0" x="1"/>
        <item h="1" sd="0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6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0AF5CAF-7A88-4F05-9C72-8301865165B5}" sourceName="Subscription Type">
  <pivotTables>
    <pivotTable tabId="3" name="tbl_total_anual"/>
    <pivotTable tabId="3" name="TBL_EASEASONPASS_TOTAL"/>
    <pivotTable tabId="3" name="Tabela dinâmica3"/>
  </pivotTables>
  <data>
    <tabular pivotCacheId="187465873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BC510B4-F287-4C90-8DF5-BEE8DD6057F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30" sqref="F3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F30" sqref="F3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1"/>
  <sheetViews>
    <sheetView showGridLines="0" topLeftCell="A19" workbookViewId="0">
      <selection activeCell="F30" sqref="F30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8.8554687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2:3" x14ac:dyDescent="0.25">
      <c r="B6" s="12" t="s">
        <v>16</v>
      </c>
      <c r="C6" t="s">
        <v>24</v>
      </c>
    </row>
    <row r="8" spans="2:3" x14ac:dyDescent="0.25">
      <c r="B8" s="12" t="s">
        <v>313</v>
      </c>
      <c r="C8" t="s">
        <v>315</v>
      </c>
    </row>
    <row r="9" spans="2:3" x14ac:dyDescent="0.25">
      <c r="B9" s="13" t="s">
        <v>23</v>
      </c>
      <c r="C9" s="14">
        <v>217</v>
      </c>
    </row>
    <row r="10" spans="2:3" x14ac:dyDescent="0.25">
      <c r="B10" s="13" t="s">
        <v>19</v>
      </c>
      <c r="C10" s="14">
        <v>1537</v>
      </c>
    </row>
    <row r="11" spans="2:3" x14ac:dyDescent="0.25">
      <c r="B11" s="13" t="s">
        <v>314</v>
      </c>
      <c r="C11" s="14">
        <v>1754</v>
      </c>
    </row>
    <row r="15" spans="2:3" x14ac:dyDescent="0.25">
      <c r="B15" s="12" t="s">
        <v>16</v>
      </c>
      <c r="C15" t="s">
        <v>24</v>
      </c>
    </row>
    <row r="17" spans="2:5" x14ac:dyDescent="0.25">
      <c r="B17" s="12" t="s">
        <v>313</v>
      </c>
      <c r="C17" t="s">
        <v>316</v>
      </c>
    </row>
    <row r="18" spans="2:5" x14ac:dyDescent="0.25">
      <c r="B18" s="13" t="s">
        <v>22</v>
      </c>
      <c r="C18" s="21">
        <v>0</v>
      </c>
    </row>
    <row r="19" spans="2:5" x14ac:dyDescent="0.25">
      <c r="B19" s="13" t="s">
        <v>26</v>
      </c>
      <c r="C19" s="21">
        <v>0</v>
      </c>
    </row>
    <row r="20" spans="2:5" x14ac:dyDescent="0.25">
      <c r="B20" s="13" t="s">
        <v>18</v>
      </c>
      <c r="C20" s="21">
        <v>600</v>
      </c>
    </row>
    <row r="21" spans="2:5" x14ac:dyDescent="0.25">
      <c r="B21" s="13" t="s">
        <v>314</v>
      </c>
      <c r="C21" s="21">
        <v>600</v>
      </c>
      <c r="E21" s="22">
        <f>GETPIVOTDATA("EA Play Season Pass
Price",$B$17)</f>
        <v>600</v>
      </c>
    </row>
    <row r="25" spans="2:5" x14ac:dyDescent="0.25">
      <c r="B25" s="12" t="s">
        <v>16</v>
      </c>
      <c r="C25" t="s">
        <v>24</v>
      </c>
    </row>
    <row r="27" spans="2:5" x14ac:dyDescent="0.25">
      <c r="B27" s="12" t="s">
        <v>313</v>
      </c>
      <c r="C27" t="s">
        <v>317</v>
      </c>
    </row>
    <row r="28" spans="2:5" x14ac:dyDescent="0.25">
      <c r="B28" s="13" t="s">
        <v>22</v>
      </c>
      <c r="C28" s="14">
        <v>0</v>
      </c>
    </row>
    <row r="29" spans="2:5" x14ac:dyDescent="0.25">
      <c r="B29" s="13" t="s">
        <v>26</v>
      </c>
      <c r="C29" s="14">
        <v>540</v>
      </c>
    </row>
    <row r="30" spans="2:5" x14ac:dyDescent="0.25">
      <c r="B30" s="13" t="s">
        <v>18</v>
      </c>
      <c r="C30" s="14">
        <v>400</v>
      </c>
    </row>
    <row r="31" spans="2:5" x14ac:dyDescent="0.25">
      <c r="B31" s="13" t="s">
        <v>314</v>
      </c>
      <c r="C31" s="14">
        <v>940</v>
      </c>
      <c r="E31" s="22">
        <f>GETPIVOTDATA("Minecraft Season Pass Price",$B$27)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3:R653"/>
  <sheetViews>
    <sheetView showGridLines="0" showRowColHeaders="0" tabSelected="1" topLeftCell="A6" zoomScaleNormal="100" workbookViewId="0">
      <selection activeCell="E4" sqref="E4"/>
    </sheetView>
  </sheetViews>
  <sheetFormatPr defaultRowHeight="15" x14ac:dyDescent="0.25"/>
  <cols>
    <col min="1" max="1" width="27.85546875" style="4" customWidth="1"/>
    <col min="2" max="2" width="3.5703125" customWidth="1"/>
    <col min="12" max="12" width="6.5703125" customWidth="1"/>
  </cols>
  <sheetData>
    <row r="3" spans="1:18" ht="54.75" customHeight="1" thickBot="1" x14ac:dyDescent="0.5">
      <c r="A3" s="23" t="s">
        <v>318</v>
      </c>
      <c r="B3" s="17"/>
      <c r="C3" s="18" t="s">
        <v>319</v>
      </c>
      <c r="D3" s="18"/>
      <c r="E3" s="18"/>
      <c r="F3" s="18"/>
      <c r="G3" s="19"/>
      <c r="H3" s="19"/>
      <c r="I3" s="19"/>
      <c r="J3" s="20"/>
      <c r="K3" s="20"/>
      <c r="L3" s="20"/>
      <c r="M3" s="20"/>
      <c r="N3" s="20"/>
      <c r="O3" s="15"/>
      <c r="P3" s="15"/>
      <c r="Q3" s="15"/>
      <c r="R3" s="16"/>
    </row>
    <row r="4" spans="1:18" s="7" customFormat="1" ht="18" customHeight="1" thickTop="1" x14ac:dyDescent="0.25">
      <c r="A4" s="4"/>
      <c r="E4" s="24" t="s">
        <v>320</v>
      </c>
      <c r="F4" s="24"/>
      <c r="G4" s="24"/>
      <c r="H4" s="24"/>
      <c r="I4" s="24"/>
    </row>
    <row r="5" spans="1:18" s="7" customFormat="1" ht="7.5" customHeight="1" x14ac:dyDescent="0.25">
      <c r="A5" s="4"/>
      <c r="K5" s="7" t="e" vm="1">
        <v>#VALUE!</v>
      </c>
    </row>
    <row r="6" spans="1:18" s="7" customFormat="1" ht="25.5" customHeight="1" x14ac:dyDescent="0.25">
      <c r="A6" s="4"/>
    </row>
    <row r="7" spans="1:18" s="7" customFormat="1" ht="9.75" customHeight="1" x14ac:dyDescent="0.25">
      <c r="A7" s="4"/>
    </row>
    <row r="8" spans="1:18" s="7" customFormat="1" ht="74.25" customHeight="1" x14ac:dyDescent="0.25">
      <c r="A8" s="4"/>
    </row>
    <row r="9" spans="1:18" s="7" customFormat="1" x14ac:dyDescent="0.25">
      <c r="A9" s="4"/>
    </row>
    <row r="10" spans="1:18" s="7" customForma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CHARLENE FERNANDES DE ALMEIDA</cp:lastModifiedBy>
  <dcterms:created xsi:type="dcterms:W3CDTF">2024-12-19T13:13:10Z</dcterms:created>
  <dcterms:modified xsi:type="dcterms:W3CDTF">2026-10-17T21:43:40Z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